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77CC4BA5-4AC1-4B10-BC7D-A625579CA830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Dashboard" sheetId="1" r:id="rId1"/>
    <sheet name="Dados_Apoio" sheetId="2" r:id="rId2"/>
    <sheet name="Premissas_e_Fontes" sheetId="3" r:id="rId3"/>
  </sheets>
  <definedNames>
    <definedName name="Lista_Categorias">Dados_Apoio!$B$2:$B$5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" i="1" l="1"/>
  <c r="C15" i="1"/>
  <c r="F15" i="1" s="1"/>
  <c r="C16" i="1"/>
  <c r="F16" i="1" s="1"/>
  <c r="C17" i="1"/>
  <c r="F17" i="1" s="1"/>
  <c r="C18" i="1"/>
  <c r="F18" i="1" s="1"/>
  <c r="C14" i="1"/>
  <c r="F14" i="1" s="1"/>
  <c r="J10" i="1"/>
  <c r="J9" i="1" a="1"/>
  <c r="J9" i="1" s="1"/>
  <c r="J8" i="1" a="1"/>
  <c r="J8" i="1" s="1"/>
  <c r="J11" i="1" s="1"/>
  <c r="D14" i="1" l="1"/>
  <c r="E14" i="1"/>
  <c r="E18" i="1"/>
  <c r="D18" i="1"/>
  <c r="E17" i="1"/>
  <c r="D17" i="1"/>
  <c r="E16" i="1"/>
  <c r="D16" i="1"/>
  <c r="E15" i="1"/>
  <c r="D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<sst xmlns="http://schemas.openxmlformats.org/spreadsheetml/2006/main" count="90" uniqueCount="77">
  <si>
    <t>EcoDrive Simulator: Simulador de Transição de Frota e Economia Verde</t>
  </si>
  <si>
    <t>SELEÇÃO DO VEÍCULO E PARÂMETROS DE USO</t>
  </si>
  <si>
    <t>ECONOMIA MENSAL OPERACIONAL</t>
  </si>
  <si>
    <t>R$ 1.350,00 / mês</t>
  </si>
  <si>
    <t>Categoria do Veículo Selecionada</t>
  </si>
  <si>
    <t>Compacto Urbano</t>
  </si>
  <si>
    <t>Custo Combustível (R$/km)</t>
  </si>
  <si>
    <t>Quilometragem Mensal Estimada (km)</t>
  </si>
  <si>
    <t>Custo Elétrico (R$/km)</t>
  </si>
  <si>
    <t>Horizonte de Análise Padrão (Anos)</t>
  </si>
  <si>
    <t>Economia Manutenção (R$/km)</t>
  </si>
  <si>
    <t>Economia Direta Total (R$/km)</t>
  </si>
  <si>
    <t>Horizonte                (Anos)</t>
  </si>
  <si>
    <t>Meses Acumulados</t>
  </si>
  <si>
    <t>Economia Bruta Acumulada</t>
  </si>
  <si>
    <t>Patrimônio Reinvestido com Juros</t>
  </si>
  <si>
    <t>Redução de CO₂ (Toneladas)</t>
  </si>
  <si>
    <t>REDUÇÃO ANUAL DE CO₂</t>
  </si>
  <si>
    <t>Fator de Emissão Diesel (kg CO2/km)</t>
  </si>
  <si>
    <t>Categoria_ID</t>
  </si>
  <si>
    <t>Categoria</t>
  </si>
  <si>
    <t>Preco_Combustivel_L</t>
  </si>
  <si>
    <t>Km_Por_L_Combustivel</t>
  </si>
  <si>
    <t>Preco_KWh</t>
  </si>
  <si>
    <t>Km_Por_KWh_Eletrico</t>
  </si>
  <si>
    <t>Economia_Maint_Km</t>
  </si>
  <si>
    <t>Taxa_Reinvestimento_Mensal</t>
  </si>
  <si>
    <t>SUV / Médio</t>
  </si>
  <si>
    <t>Frota Comercial Leve</t>
  </si>
  <si>
    <t>Caminhão / Logística</t>
  </si>
  <si>
    <t>EcoDrive Simulator — Matriz de Justificativa Metodológica e Governança de Dados</t>
  </si>
  <si>
    <t>Campo / Indicador do Dashboard</t>
  </si>
  <si>
    <t>Valor / Premissa Adotada</t>
  </si>
  <si>
    <t>Unidade</t>
  </si>
  <si>
    <t>Fonte Oficial de Dados</t>
  </si>
  <si>
    <t>Aplicação no Simulador (Estrutura)</t>
  </si>
  <si>
    <t>Defesa Técnica e Metodologia de Cálculo</t>
  </si>
  <si>
    <t>diversas categorias</t>
  </si>
  <si>
    <t>Menu Dropdown</t>
  </si>
  <si>
    <t>Inmetro (PBEV) / ANP / ANEEL</t>
  </si>
  <si>
    <t>Busca dados da tabela tbVeiculos na aba dados_apoio via PROCX</t>
  </si>
  <si>
    <t>Permite a dinamicidade do simulador. Ao alterar a categoria, o modelo recalcula instantaneamente os custos operacionais por km baseados na eficiência média da categoria.</t>
  </si>
  <si>
    <t>1.500 (Padrão de Entrada)</t>
  </si>
  <si>
    <t>km / mês</t>
  </si>
  <si>
    <t>Premissa do Usuário / Perfil Operacional</t>
  </si>
  <si>
    <t>Célula C7 da aba Dashboard</t>
  </si>
  <si>
    <t>Atua como o multiplicador escalar do modelo. Define o volume total de rodagem para converter economias unitárias (R$/km) em fluxo financeiro e emissões mensais.</t>
  </si>
  <si>
    <t>R$ 1,02 (Calculado)</t>
  </si>
  <si>
    <t>R$ / km</t>
  </si>
  <si>
    <t>ANP (Preço Diesel S10/Gasolina) e Inmetro (Consumo em km/L)</t>
  </si>
  <si>
    <t>Coluna Custo_Combustivel da tabela tbVeiculos na aba dados_apoio</t>
  </si>
  <si>
    <t>Calculado dividindo o preço do litro de combustível ($R\$/L$) da ANP pela autonomia do veículo ($km/L$) do Inmetro. Representa o custo direto de rodagem convencional.</t>
  </si>
  <si>
    <t>R$ 0,47 (Calculado)</t>
  </si>
  <si>
    <t>ANEEL (Tarifa Média B3/A4 em R$/kWh) e Inmetro (Consumo em kWh/km)</t>
  </si>
  <si>
    <t>Coluna Custo_Eletrico da tabela tbVeiculos na aba dados_apoio</t>
  </si>
  <si>
    <t>Calculado multiplicando a tarifa média de energia da ANEEL ($R\$/kWh$) pelo consumo elétrico por km ($kWh/km$) listado no Inmetro. Base para apurar o gasto de recarga.</t>
  </si>
  <si>
    <t>R$ 0,35 (Estimado)</t>
  </si>
  <si>
    <t>Relatórios de TCO de Frotas / Estudos da Indústria Automotiva</t>
  </si>
  <si>
    <t>Coluna Economia_Manutencao da tabela tbVeiculos na aba dados_apoio</t>
  </si>
  <si>
    <t>Reflete a redução de custos com freios (frenagem regenerativa), ausência de troca de óleo, filtros, correias e menor quantidade de partes móveis no motor elétrico.</t>
  </si>
  <si>
    <t>R$ 0,90 (Calculado)</t>
  </si>
  <si>
    <t>Consolidação interna do modelo</t>
  </si>
  <si>
    <t>Célula F9 da aba Dashboard (Fórmula: Custo_Combustível - Custo_Elétrico + Economia_Manutenção)</t>
  </si>
  <si>
    <t>Soma o diferencial de custo do combustível e da energia elétrica com a economia de manutenção. Expressa o ganho líquido por cada quilômetro rodado.</t>
  </si>
  <si>
    <t>R$ / mês</t>
  </si>
  <si>
    <t>Resultado derivado do Dashboard</t>
  </si>
  <si>
    <t>Card Célula G4 da aba Dashboard (Fórmula: KM_Mensal × Economia_Direta_Total)</t>
  </si>
  <si>
    <t>KPI principal de caixa. Representa o valor líquido liberado todo mês no orçamento da empresa resultante da substituição da frota a combustão pela elétrica.</t>
  </si>
  <si>
    <t>16,2 ton / ano (Fator 0,90 kg/km)</t>
  </si>
  <si>
    <t>toneladas / ano</t>
  </si>
  <si>
    <t>Inmetro / Ministério do Meio Ambiente / GHG Protocol</t>
  </si>
  <si>
    <t>Card Célula L4 e parâmetro L7:L8 da aba Dashboard</t>
  </si>
  <si>
    <t>Multiplica os km anuais pelo fator de emissão do diesel (0,90 kg CO2/km) e divide por 1.000. Quantifica o impacto ESG direto na descarbonização da operação.</t>
  </si>
  <si>
    <t>NOTAS METODOLÓGICAS E JUSTIFICATIVA DO INVESTIMENTO</t>
  </si>
  <si>
    <t>1. Justificativa da Taxa de Rendimento (0,80% a.m.): Adotou-se a taxa de 0,80% ao mês (aprox. 10% ao ano) por refletir a rentabilidade líquida/bruta de aplicações de CDB pós-fixado a 100% do CDI ou títulos públicos (Tesouro Selic), considerando a taxa básica de juros (Selic) fixada pelo Banco Central do Brasil. Essa escolha justifica-se por ser um investimento de baixíssimo risco e altíssima liquidez, ideal para a alocação de caixa operacional proveniente de economias corporativas.</t>
  </si>
  <si>
    <t>2. Metodologia de Reinvestimento (Função =VF): O cálculo do Patrimônio Reinvestido utiliza a função de Valor Futuro =VF(Taxa; Nper; PGTO) do Excel. A metodologia assume aportes mensais constantes (PGTO = -Economia Mensal) reinvestidos ao início ou final de cada período sobre uma taxa composta contínua (Taxa = 0,80% a.m.). Isso comprova que o ganho financeiro de longo prazo não vem apenas de "guardar" a economia, mas do custo de oportunidade do capital gerando juros sobre juros.</t>
  </si>
  <si>
    <t>3. Escopo das Emissões ESG: A medição de CO2 utiliza a abordagem Direct Tailpipe (Tank-to-Wheel), considerando a eliminação direta da queima de combustível fóssil no escapamento. Considera-se que a matriz elétrica brasileira é majoritariamente renovável (hídrica, eólica e solar), tornando a pegada operacional do veículo elétrico insignificante em comparação ao diesel.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</si>
</sst>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164" formatCode="0.0"/>
    <numFmt numFmtId="165" formatCode="&quot;R$&quot;\ #,##0.00"/>
    <numFmt numFmtId="166" formatCode="0.0\ &quot;toneladas/ano&quot;"/>
    <numFmt numFmtId="167" formatCode="&quot;R$&quot;\ #,##0"/>
    <numFmt numFmtId="168" formatCode="0.00\ &quot;kg CO2/km&quot;"/>
  </numFmts>
  <fonts count="6">
    <font>
      <sz val="11"/>
      <color theme="1"/>
      <name val="Calibri"/>
      <family val="2"/>
      <scheme val="minor"/>
    </font>
    <font>
      <b/>
      <sz val="16"/>
      <color theme="0"/>
      <name val="Segoe U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1E46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FAED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theme="9"/>
      </bottom>
      <diagonal/>
    </border>
    <border>
      <left/>
      <right style="thin">
        <color rgb="FF000000"/>
      </right>
      <top/>
      <bottom style="thin">
        <color theme="0" tint="-0.249977111117893"/>
      </bottom>
      <diagonal/>
    </border>
    <border>
      <left/>
      <right/>
      <top/>
      <bottom style="medium">
        <color theme="9" tint="0.39997558519241921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8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4" xfId="0" applyFill="1" applyBorder="1"/>
    <xf numFmtId="165" fontId="0" fillId="5" borderId="11" xfId="0" applyNumberFormat="1" applyFill="1" applyBorder="1"/>
    <xf numFmtId="165" fontId="0" fillId="5" borderId="6" xfId="0" applyNumberFormat="1" applyFill="1" applyBorder="1"/>
    <xf numFmtId="165" fontId="0" fillId="5" borderId="9" xfId="0" applyNumberFormat="1" applyFill="1" applyBorder="1"/>
    <xf numFmtId="0" fontId="4" fillId="3" borderId="1" xfId="0" applyFont="1" applyFill="1" applyBorder="1" applyAlignment="1">
      <alignment horizontal="center" vertical="center" wrapText="1"/>
    </xf>
    <xf numFmtId="8" fontId="0" fillId="0" borderId="8" xfId="0" applyNumberFormat="1" applyBorder="1"/>
    <xf numFmtId="0" fontId="4" fillId="3" borderId="2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5" xfId="0" applyBorder="1"/>
    <xf numFmtId="0" fontId="0" fillId="8" borderId="11" xfId="0" applyFill="1" applyBorder="1" applyAlignment="1">
      <alignment horizontal="right"/>
    </xf>
    <xf numFmtId="1" fontId="0" fillId="8" borderId="4" xfId="0" applyNumberFormat="1" applyFill="1" applyBorder="1"/>
    <xf numFmtId="1" fontId="0" fillId="8" borderId="9" xfId="0" applyNumberFormat="1" applyFill="1" applyBorder="1"/>
    <xf numFmtId="0" fontId="3" fillId="4" borderId="16" xfId="0" applyFont="1" applyFill="1" applyBorder="1"/>
    <xf numFmtId="0" fontId="0" fillId="4" borderId="16" xfId="0" applyFill="1" applyBorder="1"/>
    <xf numFmtId="167" fontId="0" fillId="0" borderId="0" xfId="0" applyNumberFormat="1"/>
    <xf numFmtId="167" fontId="0" fillId="0" borderId="8" xfId="0" applyNumberFormat="1" applyBorder="1"/>
    <xf numFmtId="166" fontId="0" fillId="5" borderId="4" xfId="0" applyNumberFormat="1" applyFill="1" applyBorder="1"/>
    <xf numFmtId="168" fontId="0" fillId="5" borderId="4" xfId="0" applyNumberFormat="1" applyFill="1" applyBorder="1" applyAlignment="1">
      <alignment vertical="center"/>
    </xf>
    <xf numFmtId="0" fontId="0" fillId="2" borderId="0" xfId="0" applyFill="1"/>
    <xf numFmtId="0" fontId="5" fillId="0" borderId="0" xfId="0" applyFont="1" applyAlignment="1">
      <alignment horizontal="left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5" fillId="0" borderId="14" xfId="0" applyFont="1" applyBorder="1" applyAlignment="1">
      <alignment horizontal="left" wrapText="1"/>
    </xf>
    <xf numFmtId="0" fontId="2" fillId="6" borderId="10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2" fillId="7" borderId="3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0" fillId="7" borderId="3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1" fillId="3" borderId="0" xfId="0" applyFont="1" applyFill="1" applyAlignment="1">
      <alignment horizontal="left" vertical="center"/>
    </xf>
    <xf numFmtId="0" fontId="2" fillId="6" borderId="3" xfId="0" applyFont="1" applyFill="1" applyBorder="1" applyAlignment="1"/>
    <xf numFmtId="0" fontId="2" fillId="6" borderId="12" xfId="0" applyFont="1" applyFill="1" applyBorder="1" applyAlignment="1"/>
    <xf numFmtId="0" fontId="0" fillId="6" borderId="10" xfId="0" applyFill="1" applyBorder="1" applyAlignment="1"/>
    <xf numFmtId="0" fontId="0" fillId="6" borderId="13" xfId="0" applyFill="1" applyBorder="1" applyAlignment="1"/>
    <xf numFmtId="0" fontId="0" fillId="6" borderId="5" xfId="0" applyFill="1" applyBorder="1" applyAlignment="1"/>
    <xf numFmtId="0" fontId="0" fillId="6" borderId="0" xfId="0" applyFill="1" applyAlignment="1"/>
    <xf numFmtId="0" fontId="0" fillId="6" borderId="7" xfId="0" applyFill="1" applyBorder="1" applyAlignment="1"/>
    <xf numFmtId="0" fontId="0" fillId="6" borderId="8" xfId="0" applyFill="1" applyBorder="1" applyAlignment="1"/>
  </cellXfs>
  <cellStyles count="1">
    <cellStyle name="Normal" xfId="0" builtinId="0"/>
  </cellStyles>
  <dxfs count="7">
    <dxf>
      <numFmt numFmtId="14" formatCode="0.00%"/>
    </dxf>
    <dxf>
      <numFmt numFmtId="165" formatCode="&quot;R$&quot;\ #,##0.00"/>
    </dxf>
    <dxf>
      <numFmt numFmtId="164" formatCode="0.0"/>
    </dxf>
    <dxf>
      <numFmt numFmtId="165" formatCode="&quot;R$&quot;\ #,##0.00"/>
    </dxf>
    <dxf>
      <numFmt numFmtId="164" formatCode="0.0"/>
    </dxf>
    <dxf>
      <numFmt numFmtId="165" formatCode="&quot;R$&quot;\ #,##0.00"/>
    </dxf>
    <dxf>
      <fill>
        <patternFill patternType="solid">
          <fgColor indexed="64"/>
          <bgColor theme="9" tint="-0.499984740745262"/>
        </patternFill>
      </fill>
    </dxf>
  </dxfs>
  <tableStyles count="0" defaultTableStyle="TableStyleMedium2" defaultPivotStyle="PivotStyleMedium9"/>
  <colors>
    <mruColors>
      <color rgb="FFF1FAED"/>
      <color rgb="FF1E46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Patrimonial:                                            Economia Bruta vs. Reinvestimento</a:t>
            </a:r>
          </a:p>
        </c:rich>
      </c:tx>
      <c:layout>
        <c:manualLayout>
          <c:xMode val="edge"/>
          <c:yMode val="edge"/>
          <c:x val="0.21035377805566505"/>
          <c:y val="2.7163014504085203E-2"/>
        </c:manualLayout>
      </c:layout>
      <c:overlay val="0"/>
      <c:spPr>
        <a:solidFill>
          <a:srgbClr val="FFFFFF"/>
        </a:solidFill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Dashboard!$D$13</c:f>
              <c:strCache>
                <c:ptCount val="1"/>
                <c:pt idx="0">
                  <c:v>Economia Bruta Acumulada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cat>
            <c:numRef>
              <c:f>Dashboard!$B$14:$B$18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Dashboard!$D$14:$D$18</c:f>
              <c:numCache>
                <c:formatCode>"R$"\ #,##0</c:formatCode>
                <c:ptCount val="5"/>
                <c:pt idx="0">
                  <c:v>10021.818181818182</c:v>
                </c:pt>
                <c:pt idx="1">
                  <c:v>25054.545454545456</c:v>
                </c:pt>
                <c:pt idx="2">
                  <c:v>50109.090909090912</c:v>
                </c:pt>
                <c:pt idx="3">
                  <c:v>100218.18181818182</c:v>
                </c:pt>
                <c:pt idx="4">
                  <c:v>150327.27272727274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FF-4392-89BB-A0D18B24E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-27"/>
        <c:axId val="4710919"/>
        <c:axId val="4712967"/>
      </c:barChart>
      <c:lineChart>
        <c:grouping val="standard"/>
        <c:varyColors val="0"/>
        <c:ser>
          <c:idx val="2"/>
          <c:order val="1"/>
          <c:tx>
            <c:strRef>
              <c:f>Dashboard!$E$13</c:f>
              <c:strCache>
                <c:ptCount val="1"/>
                <c:pt idx="0">
                  <c:v>Patrimônio Reinvestido com Juros</c:v>
                </c:pt>
              </c:strCache>
            </c:strRef>
          </c:tx>
          <c:spPr>
            <a:ln w="38100" cap="rnd">
              <a:solidFill>
                <a:srgbClr val="FFD966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A9D08E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122844124308968"/>
                  <c:y val="-0.13636368260239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37-4B17-8152-734AD975C479}"/>
                </c:ext>
              </c:extLst>
            </c:dLbl>
            <c:dLbl>
              <c:idx val="1"/>
              <c:layout>
                <c:manualLayout>
                  <c:x val="-9.729729729729733E-2"/>
                  <c:y val="-0.193939440178148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37-4B17-8152-734AD975C479}"/>
                </c:ext>
              </c:extLst>
            </c:dLbl>
            <c:dLbl>
              <c:idx val="2"/>
              <c:layout>
                <c:manualLayout>
                  <c:x val="-9.6805866813191033E-2"/>
                  <c:y val="-0.251515059037642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37-4B17-8152-734AD975C479}"/>
                </c:ext>
              </c:extLst>
            </c:dLbl>
            <c:dLbl>
              <c:idx val="3"/>
              <c:layout>
                <c:manualLayout>
                  <c:x val="-0.10368544370009214"/>
                  <c:y val="-0.290151515151515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37-4B17-8152-734AD975C479}"/>
                </c:ext>
              </c:extLst>
            </c:dLbl>
            <c:dLbl>
              <c:idx val="4"/>
              <c:layout>
                <c:manualLayout>
                  <c:x val="-4.0294810302134644E-2"/>
                  <c:y val="-8.25757575757575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37-4B17-8152-734AD975C4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Dashboard!$B$14:$B$18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Dashboard!$E$14:$E$18</c:f>
              <c:numCache>
                <c:formatCode>"R$"#,##0.00_);[Red]\("R$"#,##0.00\)</c:formatCode>
                <c:ptCount val="5"/>
                <c:pt idx="0">
                  <c:v>11000.262952461442</c:v>
                </c:pt>
                <c:pt idx="1">
                  <c:v>31996.269240706348</c:v>
                </c:pt>
                <c:pt idx="2">
                  <c:v>83605.961468747628</c:v>
                </c:pt>
                <c:pt idx="3">
                  <c:v>301126.91520034149</c:v>
                </c:pt>
                <c:pt idx="4">
                  <c:v>867059.82813010772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FF-4392-89BB-A0D18B24E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9335"/>
        <c:axId val="6303239"/>
      </c:lineChart>
      <c:catAx>
        <c:axId val="4710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2967"/>
        <c:crosses val="autoZero"/>
        <c:auto val="1"/>
        <c:lblAlgn val="ctr"/>
        <c:lblOffset val="100"/>
        <c:noMultiLvlLbl val="0"/>
      </c:catAx>
      <c:valAx>
        <c:axId val="4712967"/>
        <c:scaling>
          <c:orientation val="minMax"/>
        </c:scaling>
        <c:delete val="0"/>
        <c:axPos val="l"/>
        <c:majorGridlines>
          <c:spPr>
            <a:ln w="25400" cap="flat" cmpd="sng" algn="ctr">
              <a:noFill/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0919"/>
        <c:crosses val="autoZero"/>
        <c:crossBetween val="between"/>
      </c:valAx>
      <c:valAx>
        <c:axId val="6303239"/>
        <c:scaling>
          <c:orientation val="minMax"/>
        </c:scaling>
        <c:delete val="0"/>
        <c:axPos val="r"/>
        <c:numFmt formatCode="&quot;R$&quot;\ #,##0;[Red]\-&quot;R$&quot;\ #,##0.00" sourceLinked="0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9335"/>
        <c:crosses val="max"/>
        <c:crossBetween val="between"/>
      </c:valAx>
      <c:catAx>
        <c:axId val="11299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03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809625</xdr:colOff>
      <xdr:row>11</xdr:row>
      <xdr:rowOff>171450</xdr:rowOff>
    </xdr:from>
    <xdr:to>
      <xdr:col>10</xdr:col>
      <xdr:colOff>295275</xdr:colOff>
      <xdr:row>22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FA9B802-B675-C944-53CC-5963D4178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5F4877-A587-4050-B2BF-A7AC5325E8EF}" name="tbVeiculos" displayName="tbVeiculos" ref="A1:H5" totalsRowShown="0" headerRowDxfId="6">
  <autoFilter ref="A1:H5" xr:uid="{A95F4877-A587-4050-B2BF-A7AC5325E8EF}"/>
  <tableColumns count="8">
    <tableColumn id="1" xr3:uid="{3A9EFF50-EB3E-43D4-8393-CE7AF47B2862}" name="Categoria_ID"/>
    <tableColumn id="2" xr3:uid="{3154749D-F936-4B1E-BD3A-4BA9B911F338}" name="Categoria"/>
    <tableColumn id="3" xr3:uid="{1030F10B-7051-408F-9DD1-20F004D747F1}" name="Preco_Combustivel_L" dataDxfId="5"/>
    <tableColumn id="4" xr3:uid="{DAF2CF7C-6A6D-46E6-928C-6B1F7266746B}" name="Km_Por_L_Combustivel" dataDxfId="4"/>
    <tableColumn id="5" xr3:uid="{36166D1E-088B-4A85-AC85-1A7C59977237}" name="Preco_KWh" dataDxfId="3"/>
    <tableColumn id="6" xr3:uid="{F4D1A57D-A181-4671-B893-C1EDECE8E4AA}" name="Km_Por_KWh_Eletrico" dataDxfId="2"/>
    <tableColumn id="7" xr3:uid="{B6417351-DC9D-4DDA-91FB-6575CB7B68A1}" name="Economia_Maint_Km" dataDxfId="1"/>
    <tableColumn id="8" xr3:uid="{1781311D-9C6B-4202-A924-3021A8DEBC7B}" name="Taxa_Reinvestimento_Mens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2"/>
  <sheetViews>
    <sheetView showGridLines="0" showRowColHeaders="0" workbookViewId="0">
      <selection activeCell="E8" sqref="E8"/>
    </sheetView>
  </sheetViews>
  <sheetFormatPr defaultRowHeight="15"/>
  <cols>
    <col min="1" max="1" width="1.28515625" customWidth="1"/>
    <col min="2" max="2" width="11.5703125" customWidth="1"/>
    <col min="3" max="3" width="12" bestFit="1" customWidth="1"/>
    <col min="4" max="4" width="10.42578125" customWidth="1"/>
    <col min="5" max="5" width="18.85546875" customWidth="1"/>
    <col min="6" max="6" width="13.42578125" customWidth="1"/>
    <col min="7" max="7" width="3.7109375" customWidth="1"/>
    <col min="8" max="8" width="17.140625" customWidth="1"/>
    <col min="9" max="9" width="15.42578125" customWidth="1"/>
    <col min="10" max="10" width="16.140625" customWidth="1"/>
    <col min="11" max="11" width="6.140625" customWidth="1"/>
    <col min="13" max="13" width="14.5703125" customWidth="1"/>
    <col min="14" max="14" width="18.28515625" customWidth="1"/>
    <col min="15" max="15" width="21.140625" customWidth="1"/>
  </cols>
  <sheetData>
    <row r="1" spans="2:10" ht="6" customHeight="1"/>
    <row r="2" spans="2:10" ht="3" customHeight="1"/>
    <row r="3" spans="2:10" ht="15" customHeight="1">
      <c r="B3" s="49" t="s">
        <v>0</v>
      </c>
      <c r="C3" s="49"/>
      <c r="D3" s="49"/>
      <c r="E3" s="49"/>
      <c r="F3" s="49"/>
      <c r="G3" s="49"/>
      <c r="H3" s="49"/>
      <c r="I3" s="49"/>
      <c r="J3" s="49"/>
    </row>
    <row r="4" spans="2:10" ht="15" customHeight="1">
      <c r="B4" s="49"/>
      <c r="C4" s="49"/>
      <c r="D4" s="49"/>
      <c r="E4" s="49"/>
      <c r="F4" s="49"/>
      <c r="G4" s="49"/>
      <c r="H4" s="49"/>
      <c r="I4" s="49"/>
      <c r="J4" s="49"/>
    </row>
    <row r="6" spans="2:10" ht="15.75">
      <c r="B6" s="21" t="s">
        <v>1</v>
      </c>
      <c r="C6" s="22"/>
      <c r="D6" s="22"/>
      <c r="E6" s="22"/>
      <c r="H6" s="50" t="s">
        <v>2</v>
      </c>
      <c r="I6" s="51"/>
      <c r="J6" s="9" t="s">
        <v>3</v>
      </c>
    </row>
    <row r="8" spans="2:10" ht="15" customHeight="1">
      <c r="B8" s="39" t="s">
        <v>4</v>
      </c>
      <c r="C8" s="40"/>
      <c r="D8" s="40"/>
      <c r="E8" s="18" t="s">
        <v>5</v>
      </c>
      <c r="H8" s="52" t="s">
        <v>6</v>
      </c>
      <c r="I8" s="53"/>
      <c r="J8" s="10" cm="1">
        <f t="array" ref="J8">_xlfn.XLOOKUP(E8, tbVeiculos[Categoria], tbVeiculos[Preco_Combustivel_L] / tbVeiculos[Km_Por_L_Combustivel])</f>
        <v>0.5636363636363636</v>
      </c>
    </row>
    <row r="9" spans="2:10">
      <c r="B9" s="45" t="s">
        <v>7</v>
      </c>
      <c r="C9" s="46"/>
      <c r="D9" s="46"/>
      <c r="E9" s="19">
        <v>800</v>
      </c>
      <c r="H9" s="54" t="s">
        <v>8</v>
      </c>
      <c r="I9" s="55"/>
      <c r="J9" s="11" cm="1">
        <f t="array" ref="J9">_xlfn.XLOOKUP(E8, tbVeiculos[Categoria], tbVeiculos[Preco_KWh] / tbVeiculos[Km_Por_KWh_Eletrico])</f>
        <v>0.14166666666666666</v>
      </c>
    </row>
    <row r="10" spans="2:10">
      <c r="B10" s="47" t="s">
        <v>9</v>
      </c>
      <c r="C10" s="48"/>
      <c r="D10" s="48"/>
      <c r="E10" s="20">
        <v>5</v>
      </c>
      <c r="H10" s="54" t="s">
        <v>10</v>
      </c>
      <c r="I10" s="55"/>
      <c r="J10" s="11">
        <f>_xlfn.XLOOKUP(E8, tbVeiculos[Categoria], tbVeiculos[Economia_Maint_Km])</f>
        <v>0.1</v>
      </c>
    </row>
    <row r="11" spans="2:10">
      <c r="H11" s="56" t="s">
        <v>11</v>
      </c>
      <c r="I11" s="57"/>
      <c r="J11" s="12">
        <f>(J8 - J9) + J10</f>
        <v>0.52196969696969697</v>
      </c>
    </row>
    <row r="13" spans="2:10" ht="49.5" customHeight="1">
      <c r="B13" s="13" t="s">
        <v>12</v>
      </c>
      <c r="C13" s="13" t="s">
        <v>13</v>
      </c>
      <c r="D13" s="13" t="s">
        <v>14</v>
      </c>
      <c r="E13" s="13" t="s">
        <v>15</v>
      </c>
      <c r="F13" s="15" t="s">
        <v>16</v>
      </c>
    </row>
    <row r="14" spans="2:10">
      <c r="B14" s="6">
        <v>2</v>
      </c>
      <c r="C14" s="5">
        <f>B14 * 12</f>
        <v>24</v>
      </c>
      <c r="D14" s="23">
        <f>C14 * $E$9 * $J$11</f>
        <v>10021.818181818182</v>
      </c>
      <c r="E14" s="4">
        <f>FV(_xlfn.XLOOKUP($E$8, tbVeiculos[Categoria], tbVeiculos[Taxa_Reinvestimento_Mensal]), C14, -($E$9 * $J$11))</f>
        <v>11000.262952461442</v>
      </c>
      <c r="F14" s="16">
        <f>(C14 * $E$9 * $E$22) / 1000</f>
        <v>17.28</v>
      </c>
    </row>
    <row r="15" spans="2:10">
      <c r="B15" s="6">
        <v>5</v>
      </c>
      <c r="C15" s="5">
        <f t="shared" ref="C15:C18" si="0">B15 * 12</f>
        <v>60</v>
      </c>
      <c r="D15" s="23">
        <f>C15 * $E$9 * $J$11</f>
        <v>25054.545454545456</v>
      </c>
      <c r="E15" s="4">
        <f>FV(_xlfn.XLOOKUP($E$8, tbVeiculos[Categoria], tbVeiculos[Taxa_Reinvestimento_Mensal]), C15, -($E$9 * $J$11))</f>
        <v>31996.269240706348</v>
      </c>
      <c r="F15" s="16">
        <f>(C15 * $E$9 * $E$22) / 1000</f>
        <v>43.2</v>
      </c>
    </row>
    <row r="16" spans="2:10">
      <c r="B16" s="6">
        <v>10</v>
      </c>
      <c r="C16" s="5">
        <f t="shared" si="0"/>
        <v>120</v>
      </c>
      <c r="D16" s="23">
        <f>C16 * $E$9 * $J$11</f>
        <v>50109.090909090912</v>
      </c>
      <c r="E16" s="4">
        <f>FV(_xlfn.XLOOKUP($E$8, tbVeiculos[Categoria], tbVeiculos[Taxa_Reinvestimento_Mensal]), C16, -($E$9 * $J$11))</f>
        <v>83605.961468747628</v>
      </c>
      <c r="F16" s="16">
        <f>(C16 * $E$9 * $E$22) / 1000</f>
        <v>86.4</v>
      </c>
    </row>
    <row r="17" spans="2:7">
      <c r="B17" s="6">
        <v>20</v>
      </c>
      <c r="C17" s="5">
        <f t="shared" si="0"/>
        <v>240</v>
      </c>
      <c r="D17" s="23">
        <f>C17 * $E$9 * $J$11</f>
        <v>100218.18181818182</v>
      </c>
      <c r="E17" s="4">
        <f>FV(_xlfn.XLOOKUP($E$8, tbVeiculos[Categoria], tbVeiculos[Taxa_Reinvestimento_Mensal]), C17, -($E$9 * $J$11))</f>
        <v>301126.91520034149</v>
      </c>
      <c r="F17" s="16">
        <f>(C17 * $E$9 * $E$22) / 1000</f>
        <v>172.8</v>
      </c>
    </row>
    <row r="18" spans="2:7">
      <c r="B18" s="7">
        <v>30</v>
      </c>
      <c r="C18" s="8">
        <f t="shared" si="0"/>
        <v>360</v>
      </c>
      <c r="D18" s="24">
        <f>C18 * $E$9 * $J$11</f>
        <v>150327.27272727274</v>
      </c>
      <c r="E18" s="14">
        <f>FV(_xlfn.XLOOKUP($E$8, tbVeiculos[Categoria], tbVeiculos[Taxa_Reinvestimento_Mensal]), C18, -($E$9 * $J$11))</f>
        <v>867059.82813010772</v>
      </c>
      <c r="F18" s="17">
        <f>(C18 * $E$9 * $E$22) / 1000</f>
        <v>259.2</v>
      </c>
    </row>
    <row r="20" spans="2:7">
      <c r="B20" s="41" t="s">
        <v>17</v>
      </c>
      <c r="C20" s="42"/>
      <c r="D20" s="42"/>
      <c r="E20" s="25">
        <f>(12 * E9 * E22) / 1000</f>
        <v>8.64</v>
      </c>
    </row>
    <row r="21" spans="2:7">
      <c r="F21" s="4"/>
      <c r="G21" s="4"/>
    </row>
    <row r="22" spans="2:7">
      <c r="B22" s="43" t="s">
        <v>18</v>
      </c>
      <c r="C22" s="44"/>
      <c r="D22" s="44"/>
      <c r="E22" s="26">
        <v>0.9</v>
      </c>
    </row>
  </sheetData>
  <mergeCells count="11">
    <mergeCell ref="B3:J4"/>
    <mergeCell ref="B8:D8"/>
    <mergeCell ref="B20:D20"/>
    <mergeCell ref="B22:D22"/>
    <mergeCell ref="H6:I6"/>
    <mergeCell ref="H8:I8"/>
    <mergeCell ref="H9:I9"/>
    <mergeCell ref="H10:I10"/>
    <mergeCell ref="H11:I11"/>
    <mergeCell ref="B9:D9"/>
    <mergeCell ref="B10:D10"/>
  </mergeCells>
  <dataValidations count="1">
    <dataValidation type="list" allowBlank="1" showInputMessage="1" showErrorMessage="1" sqref="E8" xr:uid="{2C840B21-F7BC-4B5C-A319-8611B185432F}">
      <formula1>Lista_Categorias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F053-8A28-4787-A045-242AE25EA54A}">
  <dimension ref="A1:H5"/>
  <sheetViews>
    <sheetView tabSelected="1" workbookViewId="0">
      <selection activeCell="A7" sqref="A1:A7"/>
    </sheetView>
  </sheetViews>
  <sheetFormatPr defaultRowHeight="15"/>
  <cols>
    <col min="1" max="1" width="15" bestFit="1" customWidth="1"/>
    <col min="2" max="2" width="19.7109375" bestFit="1" customWidth="1"/>
    <col min="3" max="3" width="22.85546875" bestFit="1" customWidth="1"/>
    <col min="4" max="4" width="25" bestFit="1" customWidth="1"/>
    <col min="5" max="5" width="13.85546875" bestFit="1" customWidth="1"/>
    <col min="6" max="6" width="24" bestFit="1" customWidth="1"/>
    <col min="7" max="7" width="22.85546875" bestFit="1" customWidth="1"/>
    <col min="8" max="8" width="30.85546875" bestFit="1" customWidth="1"/>
    <col min="9" max="9" width="9.28515625" customWidth="1"/>
  </cols>
  <sheetData>
    <row r="1" spans="1:8">
      <c r="A1" s="27" t="s">
        <v>19</v>
      </c>
      <c r="B1" s="27" t="s">
        <v>20</v>
      </c>
      <c r="C1" s="27" t="s">
        <v>21</v>
      </c>
      <c r="D1" s="27" t="s">
        <v>22</v>
      </c>
      <c r="E1" s="27" t="s">
        <v>23</v>
      </c>
      <c r="F1" s="27" t="s">
        <v>24</v>
      </c>
      <c r="G1" s="27" t="s">
        <v>25</v>
      </c>
      <c r="H1" s="27" t="s">
        <v>26</v>
      </c>
    </row>
    <row r="2" spans="1:8">
      <c r="A2">
        <v>1</v>
      </c>
      <c r="B2" t="s">
        <v>5</v>
      </c>
      <c r="C2" s="2">
        <v>6.2</v>
      </c>
      <c r="D2" s="1">
        <v>11</v>
      </c>
      <c r="E2" s="2">
        <v>0.85</v>
      </c>
      <c r="F2" s="1">
        <v>6</v>
      </c>
      <c r="G2" s="2">
        <v>0.1</v>
      </c>
      <c r="H2" s="3">
        <v>8.0000000000000002E-3</v>
      </c>
    </row>
    <row r="3" spans="1:8">
      <c r="A3">
        <v>2</v>
      </c>
      <c r="B3" t="s">
        <v>27</v>
      </c>
      <c r="C3" s="2">
        <v>6.2</v>
      </c>
      <c r="D3" s="1">
        <v>8.5</v>
      </c>
      <c r="E3" s="2">
        <v>0.85</v>
      </c>
      <c r="F3" s="1">
        <v>4.8</v>
      </c>
      <c r="G3" s="2">
        <v>0.12</v>
      </c>
      <c r="H3" s="3">
        <v>8.0000000000000002E-3</v>
      </c>
    </row>
    <row r="4" spans="1:8">
      <c r="A4">
        <v>3</v>
      </c>
      <c r="B4" t="s">
        <v>28</v>
      </c>
      <c r="C4" s="2">
        <v>6.2</v>
      </c>
      <c r="D4" s="1">
        <v>9</v>
      </c>
      <c r="E4" s="2">
        <v>0.85</v>
      </c>
      <c r="F4" s="1">
        <v>5</v>
      </c>
      <c r="G4" s="2">
        <v>0.15</v>
      </c>
      <c r="H4" s="3">
        <v>8.0000000000000002E-3</v>
      </c>
    </row>
    <row r="5" spans="1:8">
      <c r="A5">
        <v>4</v>
      </c>
      <c r="B5" t="s">
        <v>29</v>
      </c>
      <c r="C5" s="2">
        <v>6.12</v>
      </c>
      <c r="D5" s="1">
        <v>6</v>
      </c>
      <c r="E5" s="2">
        <v>0.85</v>
      </c>
      <c r="F5" s="1">
        <v>1.8</v>
      </c>
      <c r="G5" s="2">
        <v>0.35</v>
      </c>
      <c r="H5" s="3">
        <v>8.0000000000000002E-3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150B-4E1A-4B33-AD57-7908DD101BF8}">
  <dimension ref="B1:G18"/>
  <sheetViews>
    <sheetView workbookViewId="0">
      <selection activeCell="F2" sqref="F2"/>
    </sheetView>
  </sheetViews>
  <sheetFormatPr defaultRowHeight="15"/>
  <cols>
    <col min="1" max="1" width="1.85546875" customWidth="1"/>
    <col min="2" max="2" width="36.28515625" customWidth="1"/>
    <col min="3" max="3" width="30.85546875" bestFit="1" customWidth="1"/>
    <col min="4" max="4" width="16.140625" bestFit="1" customWidth="1"/>
    <col min="5" max="5" width="37" customWidth="1"/>
    <col min="6" max="6" width="47.7109375" customWidth="1"/>
    <col min="7" max="7" width="37.7109375" customWidth="1"/>
  </cols>
  <sheetData>
    <row r="1" spans="2:7" ht="15" customHeight="1">
      <c r="B1" s="37" t="s">
        <v>30</v>
      </c>
      <c r="C1" s="37"/>
      <c r="D1" s="37"/>
      <c r="E1" s="37"/>
    </row>
    <row r="2" spans="2:7" ht="15" customHeight="1">
      <c r="B2" s="38"/>
      <c r="C2" s="38"/>
      <c r="D2" s="38"/>
      <c r="E2" s="38"/>
    </row>
    <row r="4" spans="2:7">
      <c r="B4" s="35" t="s">
        <v>31</v>
      </c>
      <c r="C4" s="35" t="s">
        <v>32</v>
      </c>
      <c r="D4" s="35" t="s">
        <v>33</v>
      </c>
      <c r="E4" s="35" t="s">
        <v>34</v>
      </c>
      <c r="F4" s="35" t="s">
        <v>35</v>
      </c>
      <c r="G4" s="35" t="s">
        <v>36</v>
      </c>
    </row>
    <row r="5" spans="2:7" ht="76.5">
      <c r="B5" s="29" t="s">
        <v>4</v>
      </c>
      <c r="C5" s="30" t="s">
        <v>37</v>
      </c>
      <c r="D5" s="30" t="s">
        <v>38</v>
      </c>
      <c r="E5" s="30" t="s">
        <v>39</v>
      </c>
      <c r="F5" s="30" t="s">
        <v>40</v>
      </c>
      <c r="G5" s="31" t="s">
        <v>41</v>
      </c>
    </row>
    <row r="6" spans="2:7" ht="76.5">
      <c r="B6" s="29" t="s">
        <v>7</v>
      </c>
      <c r="C6" s="30" t="s">
        <v>42</v>
      </c>
      <c r="D6" s="30" t="s">
        <v>43</v>
      </c>
      <c r="E6" s="30" t="s">
        <v>44</v>
      </c>
      <c r="F6" s="30" t="s">
        <v>45</v>
      </c>
      <c r="G6" s="31" t="s">
        <v>46</v>
      </c>
    </row>
    <row r="7" spans="2:7" ht="76.5">
      <c r="B7" s="29" t="s">
        <v>6</v>
      </c>
      <c r="C7" s="30" t="s">
        <v>47</v>
      </c>
      <c r="D7" s="30" t="s">
        <v>48</v>
      </c>
      <c r="E7" s="30" t="s">
        <v>49</v>
      </c>
      <c r="F7" s="30" t="s">
        <v>50</v>
      </c>
      <c r="G7" s="31" t="s">
        <v>51</v>
      </c>
    </row>
    <row r="8" spans="2:7" ht="76.5">
      <c r="B8" s="29" t="s">
        <v>8</v>
      </c>
      <c r="C8" s="30" t="s">
        <v>52</v>
      </c>
      <c r="D8" s="30" t="s">
        <v>48</v>
      </c>
      <c r="E8" s="30" t="s">
        <v>53</v>
      </c>
      <c r="F8" s="30" t="s">
        <v>54</v>
      </c>
      <c r="G8" s="31" t="s">
        <v>55</v>
      </c>
    </row>
    <row r="9" spans="2:7" ht="76.5">
      <c r="B9" s="29" t="s">
        <v>10</v>
      </c>
      <c r="C9" s="30" t="s">
        <v>56</v>
      </c>
      <c r="D9" s="30" t="s">
        <v>48</v>
      </c>
      <c r="E9" s="30" t="s">
        <v>57</v>
      </c>
      <c r="F9" s="30" t="s">
        <v>58</v>
      </c>
      <c r="G9" s="31" t="s">
        <v>59</v>
      </c>
    </row>
    <row r="10" spans="2:7" ht="76.5">
      <c r="B10" s="29" t="s">
        <v>11</v>
      </c>
      <c r="C10" s="30" t="s">
        <v>60</v>
      </c>
      <c r="D10" s="30" t="s">
        <v>48</v>
      </c>
      <c r="E10" s="30" t="s">
        <v>61</v>
      </c>
      <c r="F10" s="30" t="s">
        <v>62</v>
      </c>
      <c r="G10" s="31" t="s">
        <v>63</v>
      </c>
    </row>
    <row r="11" spans="2:7" ht="60.75">
      <c r="B11" s="29" t="s">
        <v>2</v>
      </c>
      <c r="C11" s="30" t="s">
        <v>3</v>
      </c>
      <c r="D11" s="30" t="s">
        <v>64</v>
      </c>
      <c r="E11" s="30" t="s">
        <v>65</v>
      </c>
      <c r="F11" s="30" t="s">
        <v>66</v>
      </c>
      <c r="G11" s="31" t="s">
        <v>67</v>
      </c>
    </row>
    <row r="12" spans="2:7" ht="76.5">
      <c r="B12" s="32" t="s">
        <v>17</v>
      </c>
      <c r="C12" s="33" t="s">
        <v>68</v>
      </c>
      <c r="D12" s="33" t="s">
        <v>69</v>
      </c>
      <c r="E12" s="33" t="s">
        <v>70</v>
      </c>
      <c r="F12" s="33" t="s">
        <v>71</v>
      </c>
      <c r="G12" s="34" t="s">
        <v>72</v>
      </c>
    </row>
    <row r="14" spans="2:7" ht="18.75" customHeight="1">
      <c r="B14" s="38" t="s">
        <v>73</v>
      </c>
      <c r="C14" s="38"/>
      <c r="D14" s="38"/>
      <c r="E14" s="38"/>
    </row>
    <row r="15" spans="2:7" ht="18.75">
      <c r="B15" s="28"/>
      <c r="C15" s="28"/>
      <c r="D15" s="28"/>
      <c r="E15" s="28"/>
    </row>
    <row r="16" spans="2:7" ht="45.75" customHeight="1">
      <c r="B16" s="36" t="s">
        <v>74</v>
      </c>
      <c r="C16" s="36"/>
      <c r="D16" s="36"/>
      <c r="E16" s="36"/>
      <c r="F16" s="36"/>
      <c r="G16" s="36"/>
    </row>
    <row r="17" spans="2:7" ht="45" customHeight="1">
      <c r="B17" s="36" t="s">
        <v>75</v>
      </c>
      <c r="C17" s="36"/>
      <c r="D17" s="36"/>
      <c r="E17" s="36"/>
      <c r="F17" s="36"/>
      <c r="G17" s="36"/>
    </row>
    <row r="18" spans="2:7" ht="33" customHeight="1">
      <c r="B18" s="36" t="s">
        <v>76</v>
      </c>
      <c r="C18" s="36"/>
      <c r="D18" s="36"/>
      <c r="E18" s="36"/>
      <c r="F18" s="36"/>
      <c r="G18" s="36"/>
    </row>
  </sheetData>
  <mergeCells count="5">
    <mergeCell ref="B18:G18"/>
    <mergeCell ref="B1:E2"/>
    <mergeCell ref="B14:E14"/>
    <mergeCell ref="B16:G16"/>
    <mergeCell ref="B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2026-09-20T21:12:02Z</dcterms:created>
  <dcterms:modified xsi:type="dcterms:W3CDTF">2026-09-21T14:12:37Z</dcterms:modified>
  <cp:category/>
  <cp:contentStatus/>
</cp:coreProperties>
</file>